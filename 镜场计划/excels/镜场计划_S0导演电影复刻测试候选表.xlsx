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92d8c4f5c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027fa82b27f48a7"/>
    <x:sheet xmlns:r="http://schemas.openxmlformats.org/officeDocument/2006/relationships" name="候选切片库" sheetId="2" r:id="R73c076b3b754402f"/>
    <x:sheet xmlns:r="http://schemas.openxmlformats.org/officeDocument/2006/relationships" name="来源索引" sheetId="3" r:id="R5ad2b64274e64d92"/>
    <x:sheet xmlns:r="http://schemas.openxmlformats.org/officeDocument/2006/relationships" name="测试评分模板" sheetId="4" r:id="R297133692e234c93"/>
    <x:sheet xmlns:r="http://schemas.openxmlformats.org/officeDocument/2006/relationships" name="使用规则" sheetId="5" r:id="R74a23ce42f3d40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A3A2A"/>
      </x:patternFill>
    </x:fill>
    <x:fill>
      <x:patternFill patternType="solid">
        <x:fgColor rgb="C8A24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DE68A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f898887e047a4" /><Relationship Type="http://schemas.openxmlformats.org/officeDocument/2006/relationships/theme" Target="/xl/theme/theme1.xml" Id="Rf6f5e154c64b4f72" /><Relationship Type="http://schemas.openxmlformats.org/officeDocument/2006/relationships/sharedStrings" Target="/xl/sharedStrings.xml" Id="R8f150f9112e34cfb" /><Relationship Type="http://schemas.openxmlformats.org/officeDocument/2006/relationships/worksheet" Target="/xl/worksheets/sheet1.xml" Id="Re027fa82b27f48a7" /><Relationship Type="http://schemas.openxmlformats.org/officeDocument/2006/relationships/worksheet" Target="/xl/worksheets/sheet2.xml" Id="R73c076b3b754402f" /><Relationship Type="http://schemas.openxmlformats.org/officeDocument/2006/relationships/worksheet" Target="/xl/worksheets/sheet3.xml" Id="R5ad2b64274e64d92" /><Relationship Type="http://schemas.openxmlformats.org/officeDocument/2006/relationships/worksheet" Target="/xl/worksheets/sheet4.xml" Id="R297133692e234c93" /><Relationship Type="http://schemas.openxmlformats.org/officeDocument/2006/relationships/worksheet" Target="/xl/worksheets/sheet5.xml" Id="R74a23ce42f3d402e" /></Relationships>
</file>

<file path=xl/tables/table1.xml><?xml version="1.0" encoding="utf-8"?>
<x:table xmlns:x="http://schemas.openxmlformats.org/spreadsheetml/2006/main" id="1" name="CandidateScenes" displayName="CandidateScenes" ref="A1:N37" headerRowCount="1">
  <x:tableColumns count="14">
    <x:tableColumn id="1" name="ID"/>
    <x:tableColumn id="2" name="导演"/>
    <x:tableColumn id="3" name="电影"/>
    <x:tableColumn id="4" name="名场面/切片"/>
    <x:tableColumn id="5" name="场景类型"/>
    <x:tableColumn id="6" name="重点视觉变量"/>
    <x:tableColumn id="7" name="入选理由"/>
    <x:tableColumn id="8" name="优先级"/>
    <x:tableColumn id="9" name="素材类型"/>
    <x:tableColumn id="10" name="来源URL"/>
    <x:tableColumn id="11" name="来源说明/下一步"/>
    <x:tableColumn id="12" name="分辨率判断"/>
    <x:tableColumn id="13" name="状态"/>
    <x:tableColumn id="14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SourceIndex" displayName="SourceIndex" ref="A1:F11" headerRowCount="1">
  <x:tableColumns count="6">
    <x:tableColumn id="1" name="来源ID"/>
    <x:tableColumn id="2" name="名称"/>
    <x:tableColumn id="3" name="URL"/>
    <x:tableColumn id="4" name="覆盖导演/电影"/>
    <x:tableColumn id="5" name="用途"/>
    <x:tableColumn id="6" name="可信度/说明"/>
  </x:tableColumns>
  <x:tableStyleInfo name="TableStyleMedium2" showRowStripes="1"/>
</x:table>
</file>

<file path=xl/tables/table3.xml><?xml version="1.0" encoding="utf-8"?>
<x:table xmlns:x="http://schemas.openxmlformats.org/spreadsheetml/2006/main" id="3" name="ReviewTemplate" displayName="ReviewTemplate" ref="A3:N30" headerRowCount="1">
  <x:tableColumns count="14">
    <x:tableColumn id="1" name="测试ID"/>
    <x:tableColumn id="2" name="候选ID"/>
    <x:tableColumn id="3" name="参考帧编号"/>
    <x:tableColumn id="4" name="生成轮次"/>
    <x:tableColumn id="5" name="色彩接近度(1-5)"/>
    <x:tableColumn id="6" name="光线逻辑(1-5)"/>
    <x:tableColumn id="7" name="构图接近度(1-5)"/>
    <x:tableColumn id="8" name="镜头距离(1-5)"/>
    <x:tableColumn id="9" name="空间层次(1-5)"/>
    <x:tableColumn id="10" name="材质气氛(1-5)"/>
    <x:tableColumn id="11" name="人物调度(1-5)"/>
    <x:tableColumn id="12" name="合规风险(低/中/高)"/>
    <x:tableColumn id="13" name="是否通过"/>
    <x:tableColumn id="1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9a089812b24f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543abfc43340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39452b68a1430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8" t="str">
        <x:v>镜场计划｜第一阶段导演电影复刻测试候选表</x:v>
      </x:c>
      <x:c r="B1" s="8"/>
      <x:c r="C1" s="8"/>
      <x:c r="D1" s="8"/>
      <x:c r="E1" s="8"/>
      <x:c r="F1" s="8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目标：只用于内部测试；先学会复刻导演电影真实内容，再做安全转译和原创应用。不上网站、不公开发布。</x:v>
      </x:c>
    </x:row>
    <x:row r="4">
      <x:c r="A4" s="10" t="str">
        <x:v>版本</x:v>
      </x:c>
      <x:c r="B4" s="10" t="str">
        <x:v>S0-v0.1</x:v>
      </x:c>
      <x:c r="D4" s="14" t="str">
        <x:v>导演</x:v>
      </x:c>
      <x:c r="E4" s="14" t="str">
        <x:v>候选数</x:v>
      </x:c>
      <x:c r="F4" s="14" t="str">
        <x:v>S级数</x:v>
      </x:c>
    </x:row>
    <x:row r="5">
      <x:c r="A5" s="10" t="str">
        <x:v>生成日期</x:v>
      </x:c>
      <x:c r="B5" s="10" t="str">
        <x:v>2026-06-12</x:v>
      </x:c>
      <x:c r="D5" t="str">
        <x:v>姜文</x:v>
      </x:c>
      <x:c r="E5" t="e">
        <x:f>COUNTIF(候选切片库!B:B,"姜文")</x:f>
      </x:c>
      <x:c r="F5" t="e">
        <x:f>COUNTIFS(候选切片库!B:B,"姜文",候选切片库!H:H,"S")</x:f>
      </x:c>
    </x:row>
    <x:row r="6">
      <x:c r="A6" s="10" t="str">
        <x:v>导演范围</x:v>
      </x:c>
      <x:c r="B6" s="10" t="str">
        <x:v>姜文 / 王家卫 / 宁浩</x:v>
      </x:c>
      <x:c r="D6" t="str">
        <x:v>王家卫</x:v>
      </x:c>
      <x:c r="E6" t="e">
        <x:f>COUNTIF(候选切片库!B:B,"王家卫")</x:f>
      </x:c>
      <x:c r="F6" t="e">
        <x:f>COUNTIFS(候选切片库!B:B,"王家卫",候选切片库!H:H,"S")</x:f>
      </x:c>
    </x:row>
    <x:row r="7">
      <x:c r="A7" s="10" t="str">
        <x:v>候选切片数量</x:v>
      </x:c>
      <x:c r="B7" s="10" t="n">
        <x:v>36</x:v>
      </x:c>
      <x:c r="D7" t="str">
        <x:v>宁浩</x:v>
      </x:c>
      <x:c r="E7" t="e">
        <x:f>COUNTIF(候选切片库!B:B,"宁浩")</x:f>
      </x:c>
      <x:c r="F7" t="e">
        <x:f>COUNTIFS(候选切片库!B:B,"宁浩",候选切片库!H:H,"S")</x:f>
      </x:c>
    </x:row>
    <x:row r="8">
      <x:c r="A8" s="10" t="str">
        <x:v>第一轮建议</x:v>
      </x:c>
      <x:c r="B8" s="10" t="str">
        <x:v>先选 S 级 9 条，每条 3 张参考帧 × 3 次生成</x:v>
      </x:c>
    </x:row>
    <x:row r="9">
      <x:c r="A9" s="10" t="str">
        <x:v>最高优先级原则</x:v>
      </x:c>
      <x:c r="B9" s="10" t="str">
        <x:v>高清可抽帧 + 名场面辨识度 + 七层视觉变量明确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34" hidden="0" customWidth="1"/>
    <x:col min="5" max="5" width="18" hidden="0" customWidth="1"/>
    <x:col min="6" max="6" width="32" hidden="0" customWidth="1"/>
    <x:col min="7" max="7" width="36" hidden="0" customWidth="1"/>
    <x:col min="8" max="8" width="8" hidden="0" customWidth="1"/>
    <x:col min="9" max="9" width="16" hidden="0" customWidth="1"/>
    <x:col min="10" max="10" width="42" hidden="0" customWidth="1"/>
    <x:col min="11" max="11" width="40" hidden="0" customWidth="1"/>
    <x:col min="12" max="12" width="18" hidden="0" customWidth="1"/>
    <x:col min="13" max="13" width="12" hidden="0" customWidth="1"/>
    <x:col min="14" max="14" width="26" hidden="0" customWidth="1"/>
  </x:cols>
  <x:sheetData>
    <x:row r="1">
      <x:c r="A1" s="8" t="str">
        <x:v>ID</x:v>
      </x:c>
      <x:c r="B1" s="8" t="str">
        <x:v>导演</x:v>
      </x:c>
      <x:c r="C1" s="8" t="str">
        <x:v>电影</x:v>
      </x:c>
      <x:c r="D1" s="8" t="str">
        <x:v>名场面/切片</x:v>
      </x:c>
      <x:c r="E1" s="8" t="str">
        <x:v>场景类型</x:v>
      </x:c>
      <x:c r="F1" s="8" t="str">
        <x:v>重点视觉变量</x:v>
      </x:c>
      <x:c r="G1" s="8" t="str">
        <x:v>入选理由</x:v>
      </x:c>
      <x:c r="H1" s="8" t="str">
        <x:v>优先级</x:v>
      </x:c>
      <x:c r="I1" s="8" t="str">
        <x:v>素材类型</x:v>
      </x:c>
      <x:c r="J1" s="8" t="str">
        <x:v>来源URL</x:v>
      </x:c>
      <x:c r="K1" s="8" t="str">
        <x:v>来源说明/下一步</x:v>
      </x:c>
      <x:c r="L1" s="8" t="str">
        <x:v>分辨率判断</x:v>
      </x:c>
      <x:c r="M1" s="8" t="str">
        <x:v>状态</x:v>
      </x:c>
      <x:c r="N1" s="8" t="str">
        <x:v>备注</x:v>
      </x:c>
    </x:row>
    <x:row r="2">
      <x:c r="A2" s="10" t="str">
        <x:v>JW-001</x:v>
      </x:c>
      <x:c r="B2" s="10" t="str">
        <x:v>姜文</x:v>
      </x:c>
      <x:c r="C2" s="10" t="str">
        <x:v>让子弹飞</x:v>
      </x:c>
      <x:c r="D2" s="10" t="str">
        <x:v>开场：马拉火车/蒸汽火锅/山谷劫车</x:v>
      </x:c>
      <x:c r="E2" s="10" t="str">
        <x:v>动作喜剧/西部寓言</x:v>
      </x:c>
      <x:c r="F2" s="10" t="str">
        <x:v>运动镜头、群像、荒诞设定、强空间线条</x:v>
      </x:c>
      <x:c r="G2" s="10" t="str">
        <x:v>开场场面识别度极高，适合测试大场面调度与物件荒诞感</x:v>
      </x:c>
      <x:c r="H2" s="10" t="str">
        <x:v>A</x:v>
      </x:c>
      <x:c r="I2" s="10" t="str">
        <x:v>视频切片优先</x:v>
      </x:c>
      <x:c r="J2" s="10" t="str">
        <x:v>https://www.youtube.com/watch?v=FhIyjAv5pZg</x:v>
      </x:c>
      <x:c r="K2" s="10" t="str">
        <x:v>官方/授权预告片源，适合先定位开场画面；最终建议从正版高清片源抽帧</x:v>
      </x:c>
      <x:c r="L2" s="10" t="str">
        <x:v>待找高分辨率帧</x:v>
      </x:c>
      <x:c r="M2" s="10" t="str">
        <x:v>未下载</x:v>
      </x:c>
      <x:c r="N2" s="10" t="str">
        <x:v>只做内部复刻测试，不上网站</x:v>
      </x:c>
    </x:row>
    <x:row r="3">
      <x:c r="A3" s="10" t="str">
        <x:v>JW-002</x:v>
      </x:c>
      <x:c r="B3" s="10" t="str">
        <x:v>姜文</x:v>
      </x:c>
      <x:c r="C3" s="10" t="str">
        <x:v>让子弹飞</x:v>
      </x:c>
      <x:c r="D3" s="10" t="str">
        <x:v>鸿门宴：张麻子/黄四郎/汤师爷圆桌三足鼎立</x:v>
      </x:c>
      <x:c r="E3" s="10" t="str">
        <x:v>室内饭局/权力博弈</x:v>
      </x:c>
      <x:c r="F3" s="10" t="str">
        <x:v>圆桌构图、环绕机位、单人切换、表面喜剧下的对峙</x:v>
      </x:c>
      <x:c r="G3" s="10" t="str">
        <x:v>论文资料明确提到三人圆桌位置构成三足鼎立、摄影机围绕圆形轨道运动</x:v>
      </x:c>
      <x:c r="H3" s="10" t="str">
        <x:v>S</x:v>
      </x:c>
      <x:c r="I3" s="10" t="str">
        <x:v>视频切片+论文定位</x:v>
      </x:c>
      <x:c r="J3" s="10" t="str">
        <x:v>https://comm.ecnu.edu.cn/_upload/article/files/29/5a/6f1d3d2141a496ece202dfafe6ef/d8408095-016a-4598-971f-7383725fbb17.pdf</x:v>
      </x:c>
      <x:c r="K3" s="10" t="str">
        <x:v>适合做第一条正式复刻测试：构图/调度/镜头运动都有明确研究依据</x:v>
      </x:c>
      <x:c r="L3" s="10" t="str">
        <x:v>待找高分辨率帧</x:v>
      </x:c>
      <x:c r="M3" s="10" t="str">
        <x:v>未下载</x:v>
      </x:c>
      <x:c r="N3" s="10" t="str">
        <x:v>内部可记录片名导演；公开转译时必须去名</x:v>
      </x:c>
    </x:row>
    <x:row r="4">
      <x:c r="A4" s="10" t="str">
        <x:v>JW-003</x:v>
      </x:c>
      <x:c r="B4" s="10" t="str">
        <x:v>姜文</x:v>
      </x:c>
      <x:c r="C4" s="10" t="str">
        <x:v>让子弹飞</x:v>
      </x:c>
      <x:c r="D4" s="10" t="str">
        <x:v>鹅城上任：县长入城与民众围观</x:v>
      </x:c>
      <x:c r="E4" s="10" t="str">
        <x:v>群像/城镇空间</x:v>
      </x:c>
      <x:c r="F4" s="10" t="str">
        <x:v>城楼、街道、队列、人物中心调度</x:v>
      </x:c>
      <x:c r="G4" s="10" t="str">
        <x:v>适合测试民国城镇美术、群像空间和喜剧节奏</x:v>
      </x:c>
      <x:c r="H4" s="10" t="str">
        <x:v>A</x:v>
      </x:c>
      <x:c r="I4" s="10" t="str">
        <x:v>视频切片</x:v>
      </x:c>
      <x:c r="J4" s="10" t="str">
        <x:v>https://www.youtube.com/watch?v=FhIyjAv5pZg</x:v>
      </x:c>
      <x:c r="K4" s="10" t="str">
        <x:v>预告片/片段可先定位，后续从正版高清源抽帧</x:v>
      </x:c>
      <x:c r="L4" s="10" t="str">
        <x:v>待找高分辨率帧</x:v>
      </x:c>
      <x:c r="M4" s="10" t="str">
        <x:v>未下载</x:v>
      </x:c>
      <x:c r="N4" s="10" t="str">
        <x:v>内部测试</x:v>
      </x:c>
    </x:row>
    <x:row r="5">
      <x:c r="A5" s="10" t="str">
        <x:v>JW-004</x:v>
      </x:c>
      <x:c r="B5" s="10" t="str">
        <x:v>姜文</x:v>
      </x:c>
      <x:c r="C5" s="10" t="str">
        <x:v>让子弹飞</x:v>
      </x:c>
      <x:c r="D5" s="10" t="str">
        <x:v>凉粉争辩/六子剖腹前后段落</x:v>
      </x:c>
      <x:c r="E5" s="10" t="str">
        <x:v>室内冲突/道德荒诞</x:v>
      </x:c>
      <x:c r="F5" s="10" t="str">
        <x:v>人群围堵、桌面证物、强对峙、黑色幽默</x:v>
      </x:c>
      <x:c r="G5" s="10" t="str">
        <x:v>网络传播度极高，但暴力段落需谨慎；适合测试情绪压迫和群像遮挡</x:v>
      </x:c>
      <x:c r="H5" s="10" t="str">
        <x:v>A</x:v>
      </x:c>
      <x:c r="I5" s="10" t="str">
        <x:v>视频切片</x:v>
      </x:c>
      <x:c r="J5" s="10" t="str">
        <x:v>https://www.youtube.com/results?search_query=%E8%AE%A9%E5%AD%90%E5%BC%B9%E9%A3%9E+%E5%85%AD%E5%AD%90+%E5%87%89%E7%B2%89+%E5%90%8D%E5%9C%BA%E9%9D%A2</x:v>
      </x:c>
      <x:c r="K5" s="10" t="str">
        <x:v>公开视频较多；优先寻找高清正版片段或自有片源抽帧</x:v>
      </x:c>
      <x:c r="L5" s="10" t="str">
        <x:v>待找高分辨率帧</x:v>
      </x:c>
      <x:c r="M5" s="10" t="str">
        <x:v>未下载</x:v>
      </x:c>
      <x:c r="N5" s="10" t="str">
        <x:v>涉及暴力，第一批可暂缓公开</x:v>
      </x:c>
    </x:row>
    <x:row r="6">
      <x:c r="A6" s="10" t="str">
        <x:v>JW-005</x:v>
      </x:c>
      <x:c r="B6" s="10" t="str">
        <x:v>姜文</x:v>
      </x:c>
      <x:c r="C6" s="10" t="str">
        <x:v>让子弹飞</x:v>
      </x:c>
      <x:c r="D6" s="10" t="str">
        <x:v>黄四郎碉楼与替身空间</x:v>
      </x:c>
      <x:c r="E6" s="10" t="str">
        <x:v>权力空间/对称建筑</x:v>
      </x:c>
      <x:c r="F6" s="10" t="str">
        <x:v>高处俯视、城堡式空间、人物真假关系</x:v>
      </x:c>
      <x:c r="G6" s="10" t="str">
        <x:v>适合测试建筑压迫感、空间权力关系、角色替身概念</x:v>
      </x:c>
      <x:c r="H6" s="10" t="str">
        <x:v>A</x:v>
      </x:c>
      <x:c r="I6" s="10" t="str">
        <x:v>视频切片</x:v>
      </x:c>
      <x:c r="J6" s="10" t="str">
        <x:v>https://www.youtube.com/results?search_query=%E8%AE%A9%E5%AD%90%E5%BC%B9%E9%A3%9E+%E9%BB%84%E5%9B%9B%E9%83%8E+%E7%A2%89%E6%A5%BC+%E7%89%87%E6%AE%B5</x:v>
      </x:c>
      <x:c r="K6" s="10" t="str">
        <x:v>用于定位片段，后续从高清正片抽帧</x:v>
      </x:c>
      <x:c r="L6" s="10" t="str">
        <x:v>待找高分辨率帧</x:v>
      </x:c>
      <x:c r="M6" s="10" t="str">
        <x:v>未下载</x:v>
      </x:c>
      <x:c r="N6" s="10" t="str">
        <x:v>内部测试</x:v>
      </x:c>
    </x:row>
    <x:row r="7">
      <x:c r="A7" s="10" t="str">
        <x:v>JW-006</x:v>
      </x:c>
      <x:c r="B7" s="10" t="str">
        <x:v>姜文</x:v>
      </x:c>
      <x:c r="C7" s="10" t="str">
        <x:v>鬼子来了</x:v>
      </x:c>
      <x:c r="D7" s="10" t="str">
        <x:v>黑白夜景：村民第一次发现/藏匿俘虏</x:v>
      </x:c>
      <x:c r="E7" s="10" t="str">
        <x:v>黑白战争寓言</x:v>
      </x:c>
      <x:c r="F7" s="10" t="str">
        <x:v>高反差黑白、室内暗部、人物惊恐表情、狭窄空间</x:v>
      </x:c>
      <x:c r="G7" s="10" t="str">
        <x:v>适合测试黑白影像层次、低光室内和压迫性人物调度</x:v>
      </x:c>
      <x:c r="H7" s="10" t="str">
        <x:v>S</x:v>
      </x:c>
      <x:c r="I7" s="10" t="str">
        <x:v>剧照页+DVD截图</x:v>
      </x:c>
      <x:c r="J7" s="10" t="str">
        <x:v>https://www.dvdbeaver.com/film/DVDReviews12/devils_on_the_doorstep.htm</x:v>
      </x:c>
      <x:c r="K7" s="10" t="str">
        <x:v>DVDBeaver 有多张截图；分辨率不一定最高，但便于先建立复刻样本</x:v>
      </x:c>
      <x:c r="L7" s="10" t="str">
        <x:v>中等分辨率</x:v>
      </x:c>
      <x:c r="M7" s="10" t="str">
        <x:v>未下载</x:v>
      </x:c>
      <x:c r="N7" s="10" t="str">
        <x:v>内部研究</x:v>
      </x:c>
    </x:row>
    <x:row r="8">
      <x:c r="A8" s="10" t="str">
        <x:v>JW-007</x:v>
      </x:c>
      <x:c r="B8" s="10" t="str">
        <x:v>姜文</x:v>
      </x:c>
      <x:c r="C8" s="10" t="str">
        <x:v>鬼子来了</x:v>
      </x:c>
      <x:c r="D8" s="10" t="str">
        <x:v>村庄群像：村民与俘虏的集体荒诞对峙</x:v>
      </x:c>
      <x:c r="E8" s="10" t="str">
        <x:v>黑白群像/乡村空间</x:v>
      </x:c>
      <x:c r="F8" s="10" t="str">
        <x:v>村庄土墙、粗粝面孔、集体围观、黑白灰层次</x:v>
      </x:c>
      <x:c r="G8" s="10" t="str">
        <x:v>适合测试纪实感、粗粝表演和多人空间关系</x:v>
      </x:c>
      <x:c r="H8" s="10" t="str">
        <x:v>A</x:v>
      </x:c>
      <x:c r="I8" s="10" t="str">
        <x:v>剧照/截图页</x:v>
      </x:c>
      <x:c r="J8" s="10" t="str">
        <x:v>https://www.dvdbeaver.com/film/DVDReviews12/devils_on_the_doorstep.htm</x:v>
      </x:c>
      <x:c r="K8" s="10" t="str">
        <x:v>先用截图页定位视觉，再从正版片源抽帧</x:v>
      </x:c>
      <x:c r="L8" s="10" t="str">
        <x:v>中等分辨率</x:v>
      </x:c>
      <x:c r="M8" s="10" t="str">
        <x:v>未下载</x:v>
      </x:c>
      <x:c r="N8" s="10" t="str">
        <x:v>内部测试</x:v>
      </x:c>
    </x:row>
    <x:row r="9">
      <x:c r="A9" s="10" t="str">
        <x:v>JW-008</x:v>
      </x:c>
      <x:c r="B9" s="10" t="str">
        <x:v>姜文</x:v>
      </x:c>
      <x:c r="C9" s="10" t="str">
        <x:v>鬼子来了</x:v>
      </x:c>
      <x:c r="D9" s="10" t="str">
        <x:v>结尾前后：强烈黑白构图与荒诞悲剧感</x:v>
      </x:c>
      <x:c r="E9" s="10" t="str">
        <x:v>战争寓言/悲剧结尾</x:v>
      </x:c>
      <x:c r="F9" s="10" t="str">
        <x:v>极端情绪、黑白高反差、人物命运转折</x:v>
      </x:c>
      <x:c r="G9" s="10" t="str">
        <x:v>电影代表性强，但内容敏感暴力，适合后段测试，不作为公开案例</x:v>
      </x:c>
      <x:c r="H9" s="10" t="str">
        <x:v>B</x:v>
      </x:c>
      <x:c r="I9" s="10" t="str">
        <x:v>视频切片</x:v>
      </x:c>
      <x:c r="J9" s="10" t="str">
        <x:v>https://www.youtube.com/results?search_query=Devils+on+the+Doorstep+ending+scene</x:v>
      </x:c>
      <x:c r="K9" s="10" t="str">
        <x:v>只做内部拉片，不公开展示受版权画面</x:v>
      </x:c>
      <x:c r="L9" s="10" t="str">
        <x:v>待找高分辨率帧</x:v>
      </x:c>
      <x:c r="M9" s="10" t="str">
        <x:v>未下载</x:v>
      </x:c>
      <x:c r="N9" s="10" t="str">
        <x:v>敏感内容，谨慎</x:v>
      </x:c>
    </x:row>
    <x:row r="10">
      <x:c r="A10" s="10" t="str">
        <x:v>JW-009</x:v>
      </x:c>
      <x:c r="B10" s="10" t="str">
        <x:v>姜文</x:v>
      </x:c>
      <x:c r="C10" s="10" t="str">
        <x:v>阳光灿烂的日子</x:v>
      </x:c>
      <x:c r="D10" s="10" t="str">
        <x:v>少年屋顶/夏日阳光/高处俯瞰北京院落</x:v>
      </x:c>
      <x:c r="E10" s="10" t="str">
        <x:v>青春记忆/夏日空间</x:v>
      </x:c>
      <x:c r="F10" s="10" t="str">
        <x:v>强烈日光、暖色、屋顶纵深、少年身体动势</x:v>
      </x:c>
      <x:c r="G10" s="10" t="str">
        <x:v>适合测试记忆滤镜、强日光曝光、青春身体调度</x:v>
      </x:c>
      <x:c r="H10" s="10" t="str">
        <x:v>A</x:v>
      </x:c>
      <x:c r="I10" s="10" t="str">
        <x:v>剧照/视频切片</x:v>
      </x:c>
      <x:c r="J10" s="10" t="str">
        <x:v>https://www.youtube.com/results?search_query=In+the+Heat+of+the+Sun+Jiang+Wen+rooftop+scene</x:v>
      </x:c>
      <x:c r="K10" s="10" t="str">
        <x:v>先找高清片段定位；后续抽帧</x:v>
      </x:c>
      <x:c r="L10" s="10" t="str">
        <x:v>待找高分辨率帧</x:v>
      </x:c>
      <x:c r="M10" s="10" t="str">
        <x:v>未下载</x:v>
      </x:c>
      <x:c r="N10" s="10" t="str">
        <x:v>内部测试</x:v>
      </x:c>
    </x:row>
    <x:row r="11">
      <x:c r="A11" s="10" t="str">
        <x:v>JW-010</x:v>
      </x:c>
      <x:c r="B11" s="10" t="str">
        <x:v>姜文</x:v>
      </x:c>
      <x:c r="C11" s="10" t="str">
        <x:v>阳光灿烂的日子</x:v>
      </x:c>
      <x:c r="D11" s="10" t="str">
        <x:v>莫斯科餐厅酒桌：少年群体和解/碰杯推进</x:v>
      </x:c>
      <x:c r="E11" s="10" t="str">
        <x:v>酒桌群像/中轴推进</x:v>
      </x:c>
      <x:c r="F11" s="10" t="str">
        <x:v>长桌对称、人物分列、摄影机沿中轴推进</x:v>
      </x:c>
      <x:c r="G11" s="10" t="str">
        <x:v>论文资料提到该段落的中轴线推进和群体站位，适合与《让子弹飞》饭局对照</x:v>
      </x:c>
      <x:c r="H11" s="10" t="str">
        <x:v>S</x:v>
      </x:c>
      <x:c r="I11" s="10" t="str">
        <x:v>论文定位+视频切片</x:v>
      </x:c>
      <x:c r="J11" s="10" t="str">
        <x:v>https://comm.ecnu.edu.cn/_upload/article/files/29/5a/6f1d3d2141a496ece202dfafe6ef/d8408095-016a-4598-971f-7383725fbb17.pdf</x:v>
      </x:c>
      <x:c r="K11" s="10" t="str">
        <x:v>与 JW-002 形成同导演饭局调度对照组</x:v>
      </x:c>
      <x:c r="L11" s="10" t="str">
        <x:v>待找高分辨率帧</x:v>
      </x:c>
      <x:c r="M11" s="10" t="str">
        <x:v>未下载</x:v>
      </x:c>
      <x:c r="N11" s="10" t="str">
        <x:v>内部测试</x:v>
      </x:c>
    </x:row>
    <x:row r="12">
      <x:c r="A12" s="10" t="str">
        <x:v>JW-011</x:v>
      </x:c>
      <x:c r="B12" s="10" t="str">
        <x:v>姜文</x:v>
      </x:c>
      <x:c r="C12" s="10" t="str">
        <x:v>太阳照常升起</x:v>
      </x:c>
      <x:c r="D12" s="10" t="str">
        <x:v>红色/黄色强色彩的荒诞乡村段落</x:v>
      </x:c>
      <x:c r="E12" s="10" t="str">
        <x:v>魔幻现实/色彩测试</x:v>
      </x:c>
      <x:c r="F12" s="10" t="str">
        <x:v>高饱和红黄、超现实道具、非现实空间逻辑</x:v>
      </x:c>
      <x:c r="G12" s="10" t="str">
        <x:v>适合测试强色彩系统和现实/梦境混合质感</x:v>
      </x:c>
      <x:c r="H12" s="10" t="str">
        <x:v>A</x:v>
      </x:c>
      <x:c r="I12" s="10" t="str">
        <x:v>视频切片</x:v>
      </x:c>
      <x:c r="J12" s="10" t="str">
        <x:v>https://www.youtube.com/results?search_query=The+Sun+Also+Rises+Jiang+Wen+film+stills</x:v>
      </x:c>
      <x:c r="K12" s="10" t="str">
        <x:v>先找剧照/片段，优先 1080p 以上</x:v>
      </x:c>
      <x:c r="L12" s="10" t="str">
        <x:v>待找高分辨率帧</x:v>
      </x:c>
      <x:c r="M12" s="10" t="str">
        <x:v>未下载</x:v>
      </x:c>
      <x:c r="N12" s="10" t="str">
        <x:v>内部测试</x:v>
      </x:c>
    </x:row>
    <x:row r="13">
      <x:c r="A13" s="10" t="str">
        <x:v>JW-012</x:v>
      </x:c>
      <x:c r="B13" s="10" t="str">
        <x:v>姜文</x:v>
      </x:c>
      <x:c r="C13" s="10" t="str">
        <x:v>邪不压正</x:v>
      </x:c>
      <x:c r="D13" s="10" t="str">
        <x:v>北平屋顶奔跑/屋脊动作段落</x:v>
      </x:c>
      <x:c r="E13" s="10" t="str">
        <x:v>动作/城市屋顶</x:v>
      </x:c>
      <x:c r="F13" s="10" t="str">
        <x:v>高处空间、屋顶几何、动作线、历史城市质感</x:v>
      </x:c>
      <x:c r="G13" s="10" t="str">
        <x:v>适合测试动作线和复杂城市屋顶空间</x:v>
      </x:c>
      <x:c r="H13" s="10" t="str">
        <x:v>A</x:v>
      </x:c>
      <x:c r="I13" s="10" t="str">
        <x:v>视频切片</x:v>
      </x:c>
      <x:c r="J13" s="10" t="str">
        <x:v>https://www.youtube.com/results?search_query=Hidden+Man+Jiang+Wen+rooftop+scene</x:v>
      </x:c>
      <x:c r="K13" s="10" t="str">
        <x:v>先做切片定位，后续抽帧</x:v>
      </x:c>
      <x:c r="L13" s="10" t="str">
        <x:v>待找高分辨率帧</x:v>
      </x:c>
      <x:c r="M13" s="10" t="str">
        <x:v>未下载</x:v>
      </x:c>
      <x:c r="N13" s="10" t="str">
        <x:v>内部测试</x:v>
      </x:c>
    </x:row>
    <x:row r="14">
      <x:c r="A14" s="10" t="str">
        <x:v>WKW-001</x:v>
      </x:c>
      <x:c r="B14" s="10" t="str">
        <x:v>王家卫</x:v>
      </x:c>
      <x:c r="C14" s="10" t="str">
        <x:v>花样年华</x:v>
      </x:c>
      <x:c r="D14" s="10" t="str">
        <x:v>楼梯/买云吞面：苏丽珍与周慕云擦肩而过</x:v>
      </x:c>
      <x:c r="E14" s="10" t="str">
        <x:v>都市爱情/克制相遇</x:v>
      </x:c>
      <x:c r="F14" s="10" t="str">
        <x:v>窄楼梯、低机位、旗袍、暖暗光、慢动作/音乐感</x:v>
      </x:c>
      <x:c r="G14" s="10" t="str">
        <x:v>全片最具识别度的反复场景之一，适合测试空间重复和情绪克制</x:v>
      </x:c>
      <x:c r="H14" s="10" t="str">
        <x:v>S</x:v>
      </x:c>
      <x:c r="I14" s="10" t="str">
        <x:v>FilmGrab 截图页</x:v>
      </x:c>
      <x:c r="J14" s="10" t="str">
        <x:v>https://film-grab.com/2013/03/09/in-the-mood-for-love/</x:v>
      </x:c>
      <x:c r="K14" s="10" t="str">
        <x:v>FilmGrab 提供大量剧照；该片有 4K 修复版，可后续从正版 4K 源抽帧</x:v>
      </x:c>
      <x:c r="L14" s="10" t="str">
        <x:v>网页截图/可再抽 4K</x:v>
      </x:c>
      <x:c r="M14" s="10" t="str">
        <x:v>未下载</x:v>
      </x:c>
      <x:c r="N14" s="10" t="str">
        <x:v>内部复刻，公开必须去名</x:v>
      </x:c>
    </x:row>
    <x:row r="15">
      <x:c r="A15" s="10" t="str">
        <x:v>WKW-002</x:v>
      </x:c>
      <x:c r="B15" s="10" t="str">
        <x:v>王家卫</x:v>
      </x:c>
      <x:c r="C15" s="10" t="str">
        <x:v>花样年华</x:v>
      </x:c>
      <x:c r="D15" s="10" t="str">
        <x:v>墙边对视/旗袍与旧广告墙</x:v>
      </x:c>
      <x:c r="E15" s="10" t="str">
        <x:v>情绪对峙/怀旧墙面</x:v>
      </x:c>
      <x:c r="F15" s="10" t="str">
        <x:v>红黄墙面、旧广告、人物近距离侧身、压抑凝视</x:v>
      </x:c>
      <x:c r="G15" s="10" t="str">
        <x:v>传播广、构图辨识度高；适合测试服装花纹与墙面纹理</x:v>
      </x:c>
      <x:c r="H15" s="10" t="str">
        <x:v>S</x:v>
      </x:c>
      <x:c r="I15" s="10" t="str">
        <x:v>新闻图/4K修复资讯</x:v>
      </x:c>
      <x:c r="J15" s="10" t="str">
        <x:v>https://nowre.com/lifestyle/482560/wangjiaweijingdianzhizuohuayangnianhuajiangyi-4k-xiufubanliangxiangjianadianyingjie/</x:v>
      </x:c>
      <x:c r="K15" s="10" t="str">
        <x:v>页面展示经典对视图并提到 4K 修复亮相戛纳</x:v>
      </x:c>
      <x:c r="L15" s="10" t="str">
        <x:v>较高分辨率网页图</x:v>
      </x:c>
      <x:c r="M15" s="10" t="str">
        <x:v>未下载</x:v>
      </x:c>
      <x:c r="N15" s="10" t="str">
        <x:v>内部测试</x:v>
      </x:c>
    </x:row>
    <x:row r="16">
      <x:c r="A16" s="10" t="str">
        <x:v>WKW-003</x:v>
      </x:c>
      <x:c r="B16" s="10" t="str">
        <x:v>王家卫</x:v>
      </x:c>
      <x:c r="C16" s="10" t="str">
        <x:v>花样年华</x:v>
      </x:c>
      <x:c r="D16" s="10" t="str">
        <x:v>走廊/门框窥视：人物被墙、门、窗切割</x:v>
      </x:c>
      <x:c r="E16" s="10" t="str">
        <x:v>空间压迫/偷窥视角</x:v>
      </x:c>
      <x:c r="F16" s="10" t="str">
        <x:v>框中框、门缝、长廊、人物局部遮挡</x:v>
      </x:c>
      <x:c r="G16" s="10" t="str">
        <x:v>New Yorker 文章提到墙、门、窗、镜子切割画面，是该片构图核心</x:v>
      </x:c>
      <x:c r="H16" s="10" t="str">
        <x:v>S</x:v>
      </x:c>
      <x:c r="I16" s="10" t="str">
        <x:v>评论文章+剧照页</x:v>
      </x:c>
      <x:c r="J16" s="10" t="str">
        <x:v>https://www.newyorker.com/culture/touchstones/wong-kar-wais-in-the-mood-for-love</x:v>
      </x:c>
      <x:c r="K16" s="10" t="str">
        <x:v>适合建立七层分析中的构图/遮挡规则</x:v>
      </x:c>
      <x:c r="L16" s="10" t="str">
        <x:v>网页图/需抽帧</x:v>
      </x:c>
      <x:c r="M16" s="10" t="str">
        <x:v>未下载</x:v>
      </x:c>
      <x:c r="N16" s="10" t="str">
        <x:v>内部测试</x:v>
      </x:c>
    </x:row>
    <x:row r="17">
      <x:c r="A17" s="10" t="str">
        <x:v>WKW-004</x:v>
      </x:c>
      <x:c r="B17" s="10" t="str">
        <x:v>王家卫</x:v>
      </x:c>
      <x:c r="C17" s="10" t="str">
        <x:v>花样年华</x:v>
      </x:c>
      <x:c r="D17" s="10" t="str">
        <x:v>办公室时钟/电话/玻璃隔断</x:v>
      </x:c>
      <x:c r="E17" s="10" t="str">
        <x:v>时间意象/办公室空间</x:v>
      </x:c>
      <x:c r="F17" s="10" t="str">
        <x:v>时钟、玻璃隔断、电话、人物被分隔</x:v>
      </x:c>
      <x:c r="G17" s="10" t="str">
        <x:v>New Yorker 提到办公室时钟、电话、玻璃隔断等时间与误传意象</x:v>
      </x:c>
      <x:c r="H17" s="10" t="str">
        <x:v>A</x:v>
      </x:c>
      <x:c r="I17" s="10" t="str">
        <x:v>评论文章+剧照页</x:v>
      </x:c>
      <x:c r="J17" s="10" t="str">
        <x:v>https://www.newyorker.com/culture/touchstones/wong-kar-wais-in-the-mood-for-love</x:v>
      </x:c>
      <x:c r="K17" s="10" t="str">
        <x:v>适合测试道具意象和空间切分</x:v>
      </x:c>
      <x:c r="L17" s="10" t="str">
        <x:v>网页图/需抽帧</x:v>
      </x:c>
      <x:c r="M17" s="10" t="str">
        <x:v>未下载</x:v>
      </x:c>
      <x:c r="N17" s="10" t="str">
        <x:v>内部测试</x:v>
      </x:c>
    </x:row>
    <x:row r="18">
      <x:c r="A18" s="10" t="str">
        <x:v>WKW-005</x:v>
      </x:c>
      <x:c r="B18" s="10" t="str">
        <x:v>王家卫</x:v>
      </x:c>
      <x:c r="C18" s="10" t="str">
        <x:v>花样年华</x:v>
      </x:c>
      <x:c r="D18" s="10" t="str">
        <x:v>吴哥窟低语秘密</x:v>
      </x:c>
      <x:c r="E18" s="10" t="str">
        <x:v>结尾/历史空间</x:v>
      </x:c>
      <x:c r="F18" s="10" t="str">
        <x:v>石墙、洞口、侧脸、古迹空间、压低情绪</x:v>
      </x:c>
      <x:c r="G18" s="10" t="str">
        <x:v>结尾名场面，适合测试人物与宏大空间的关系</x:v>
      </x:c>
      <x:c r="H18" s="10" t="str">
        <x:v>A</x:v>
      </x:c>
      <x:c r="I18" s="10" t="str">
        <x:v>FilmGrab 截图页</x:v>
      </x:c>
      <x:c r="J18" s="10" t="str">
        <x:v>https://film-grab.com/2013/03/09/in-the-mood-for-love/</x:v>
      </x:c>
      <x:c r="K18" s="10" t="str">
        <x:v>先用截图页定位时间码，后续从高清正片抽帧</x:v>
      </x:c>
      <x:c r="L18" s="10" t="str">
        <x:v>网页截图/可再抽 4K</x:v>
      </x:c>
      <x:c r="M18" s="10" t="str">
        <x:v>未下载</x:v>
      </x:c>
      <x:c r="N18" s="10" t="str">
        <x:v>内部测试</x:v>
      </x:c>
    </x:row>
    <x:row r="19">
      <x:c r="A19" s="10" t="str">
        <x:v>WKW-006</x:v>
      </x:c>
      <x:c r="B19" s="10" t="str">
        <x:v>王家卫</x:v>
      </x:c>
      <x:c r="C19" s="10" t="str">
        <x:v>重庆森林</x:v>
      </x:c>
      <x:c r="D19" s="10" t="str">
        <x:v>凤梨罐头：223 与过期日期</x:v>
      </x:c>
      <x:c r="E19" s="10" t="str">
        <x:v>都市孤独/道具意象</x:v>
      </x:c>
      <x:c r="F19" s="10" t="str">
        <x:v>便利店/罐头/冷色霓虹/手部道具</x:v>
      </x:c>
      <x:c r="G19" s="10" t="str">
        <x:v>Criterion 说明中提到 canned pineapple 成为浪漫 longing 的符号</x:v>
      </x:c>
      <x:c r="H19" s="10" t="str">
        <x:v>S</x:v>
      </x:c>
      <x:c r="I19" s="10" t="str">
        <x:v>Criterion 页面</x:v>
      </x:c>
      <x:c r="J19" s="10" t="str">
        <x:v>https://www.criterionchannel.com/videos/chungking-express</x:v>
      </x:c>
      <x:c r="K19" s="10" t="str">
        <x:v>适合测试物件意象、冷暖霓虹与孤独感</x:v>
      </x:c>
      <x:c r="L19" s="10" t="str">
        <x:v>页面/需抽帧</x:v>
      </x:c>
      <x:c r="M19" s="10" t="str">
        <x:v>未下载</x:v>
      </x:c>
      <x:c r="N19" s="10" t="str">
        <x:v>内部测试</x:v>
      </x:c>
    </x:row>
    <x:row r="20">
      <x:c r="A20" s="10" t="str">
        <x:v>WKW-007</x:v>
      </x:c>
      <x:c r="B20" s="10" t="str">
        <x:v>王家卫</x:v>
      </x:c>
      <x:c r="C20" s="10" t="str">
        <x:v>重庆森林</x:v>
      </x:c>
      <x:c r="D20" s="10" t="str">
        <x:v>Midnight Express 快餐店：Faye 与警察 663</x:v>
      </x:c>
      <x:c r="E20" s="10" t="str">
        <x:v>都市快餐店/相遇</x:v>
      </x:c>
      <x:c r="F20" s="10" t="str">
        <x:v>小店空间、玻璃反射、霓虹、近距离人物关系</x:v>
      </x:c>
      <x:c r="G20" s="10" t="str">
        <x:v>Criterion 页面明确描述两位警察与 Faye 在 Midnight Express 交叉相遇</x:v>
      </x:c>
      <x:c r="H20" s="10" t="str">
        <x:v>S</x:v>
      </x:c>
      <x:c r="I20" s="10" t="str">
        <x:v>Criterion 页面</x:v>
      </x:c>
      <x:c r="J20" s="10" t="str">
        <x:v>https://www.criterionchannel.com/videos/chungking-express</x:v>
      </x:c>
      <x:c r="K20" s="10" t="str">
        <x:v>适合测试狭小商业空间和流动人群</x:v>
      </x:c>
      <x:c r="L20" s="10" t="str">
        <x:v>页面/需抽帧</x:v>
      </x:c>
      <x:c r="M20" s="10" t="str">
        <x:v>未下载</x:v>
      </x:c>
      <x:c r="N20" s="10" t="str">
        <x:v>内部测试</x:v>
      </x:c>
    </x:row>
    <x:row r="21">
      <x:c r="A21" s="10" t="str">
        <x:v>WKW-008</x:v>
      </x:c>
      <x:c r="B21" s="10" t="str">
        <x:v>王家卫</x:v>
      </x:c>
      <x:c r="C21" s="10" t="str">
        <x:v>重庆森林</x:v>
      </x:c>
      <x:c r="D21" s="10" t="str">
        <x:v>Faye 偷进 663 家：California Dreamin' 段落</x:v>
      </x:c>
      <x:c r="E21" s="10" t="str">
        <x:v>轻喜剧/室内生活</x:v>
      </x:c>
      <x:c r="F21" s="10" t="str">
        <x:v>公寓、鱼缸/毛巾/肥皂、明亮色彩、人物缺席</x:v>
      </x:c>
      <x:c r="G21" s="10" t="str">
        <x:v>适合测试生活道具拟人化和明亮都市孤独</x:v>
      </x:c>
      <x:c r="H21" s="10" t="str">
        <x:v>A</x:v>
      </x:c>
      <x:c r="I21" s="10" t="str">
        <x:v>Criterion 页面</x:v>
      </x:c>
      <x:c r="J21" s="10" t="str">
        <x:v>https://www.criterionchannel.com/videos/chungking-express</x:v>
      </x:c>
      <x:c r="K21" s="10" t="str">
        <x:v>Criterion 提到 California Dreamin' 的符号性，可作音乐/动作节奏参考</x:v>
      </x:c>
      <x:c r="L21" s="10" t="str">
        <x:v>页面/需抽帧</x:v>
      </x:c>
      <x:c r="M21" s="10" t="str">
        <x:v>未下载</x:v>
      </x:c>
      <x:c r="N21" s="10" t="str">
        <x:v>内部测试</x:v>
      </x:c>
    </x:row>
    <x:row r="22">
      <x:c r="A22" s="10" t="str">
        <x:v>WKW-009</x:v>
      </x:c>
      <x:c r="B22" s="10" t="str">
        <x:v>王家卫</x:v>
      </x:c>
      <x:c r="C22" s="10" t="str">
        <x:v>重庆森林</x:v>
      </x:c>
      <x:c r="D22" s="10" t="str">
        <x:v>金发墨镜女杀手/机场与酒吧霓虹</x:v>
      </x:c>
      <x:c r="E22" s="10" t="str">
        <x:v>都市 noir</x:v>
      </x:c>
      <x:c r="F22" s="10" t="str">
        <x:v>墨镜、雨衣/假发、机场、霓虹、步伐</x:v>
      </x:c>
      <x:c r="G22" s="10" t="str">
        <x:v>高识别度造型，适合测试人物造型与都市夜景</x:v>
      </x:c>
      <x:c r="H22" s="10" t="str">
        <x:v>A</x:v>
      </x:c>
      <x:c r="I22" s="10" t="str">
        <x:v>影评/视频切片</x:v>
      </x:c>
      <x:c r="J22" s="10" t="str">
        <x:v>https://www.criterion.com/current/posts/766-chungking-express-electric-youth</x:v>
      </x:c>
      <x:c r="K22" s="10" t="str">
        <x:v>可作为片段定位参考，后续从高清源抽帧</x:v>
      </x:c>
      <x:c r="L22" s="10" t="str">
        <x:v>需抽帧</x:v>
      </x:c>
      <x:c r="M22" s="10" t="str">
        <x:v>未下载</x:v>
      </x:c>
      <x:c r="N22" s="10" t="str">
        <x:v>内部测试</x:v>
      </x:c>
    </x:row>
    <x:row r="23">
      <x:c r="A23" s="10" t="str">
        <x:v>WKW-010</x:v>
      </x:c>
      <x:c r="B23" s="10" t="str">
        <x:v>王家卫</x:v>
      </x:c>
      <x:c r="C23" s="10" t="str">
        <x:v>堕落天使</x:v>
      </x:c>
      <x:c r="D23" s="10" t="str">
        <x:v>超广角近脸/狭窄室内/扭曲空间</x:v>
      </x:c>
      <x:c r="E23" s="10" t="str">
        <x:v>都市夜色/超广角</x:v>
      </x:c>
      <x:c r="F23" s="10" t="str">
        <x:v>极近距离、广角畸变、霓虹、人物孤独</x:v>
      </x:c>
      <x:c r="G23" s="10" t="str">
        <x:v>中青在线文章提到《堕落天使》用超广角拍空间扭曲与近乎惊悚的人脸特写</x:v>
      </x:c>
      <x:c r="H23" s="10" t="str">
        <x:v>S</x:v>
      </x:c>
      <x:c r="I23" s="10" t="str">
        <x:v>影评文章</x:v>
      </x:c>
      <x:c r="J23" s="10" t="str">
        <x:v>https://news.cyol.com/gb/articles/2021-03/17/content_B809vtlY7.html</x:v>
      </x:c>
      <x:c r="K23" s="10" t="str">
        <x:v>适合测试广角畸变和都市疏离</x:v>
      </x:c>
      <x:c r="L23" s="10" t="str">
        <x:v>需找高清帧</x:v>
      </x:c>
      <x:c r="M23" s="10" t="str">
        <x:v>未下载</x:v>
      </x:c>
      <x:c r="N23" s="10" t="str">
        <x:v>内部测试</x:v>
      </x:c>
    </x:row>
    <x:row r="24">
      <x:c r="A24" s="10" t="str">
        <x:v>WKW-011</x:v>
      </x:c>
      <x:c r="B24" s="10" t="str">
        <x:v>王家卫</x:v>
      </x:c>
      <x:c r="C24" s="10" t="str">
        <x:v>春光乍泄</x:v>
      </x:c>
      <x:c r="D24" s="10" t="str">
        <x:v>台灯/红绿室内/两人争吵与亲密</x:v>
      </x:c>
      <x:c r="E24" s="10" t="str">
        <x:v>室内情感/强色彩</x:v>
      </x:c>
      <x:c r="F24" s="10" t="str">
        <x:v>红绿对比、狭小公寓、手持感、情绪爆发</x:v>
      </x:c>
      <x:c r="G24" s="10" t="str">
        <x:v>适合测试强色彩和亲密空间中的冲突</x:v>
      </x:c>
      <x:c r="H24" s="10" t="str">
        <x:v>A</x:v>
      </x:c>
      <x:c r="I24" s="10" t="str">
        <x:v>视频/评论定位</x:v>
      </x:c>
      <x:c r="J24" s="10" t="str">
        <x:v>https://www.youtube.com/results?search_query=Happy+Together+Wong+Kar+Wai+apartment+scene+HD</x:v>
      </x:c>
      <x:c r="K24" s="10" t="str">
        <x:v>先找高清切片，后续抽帧</x:v>
      </x:c>
      <x:c r="L24" s="10" t="str">
        <x:v>待找高分辨率帧</x:v>
      </x:c>
      <x:c r="M24" s="10" t="str">
        <x:v>未下载</x:v>
      </x:c>
      <x:c r="N24" s="10" t="str">
        <x:v>内部测试</x:v>
      </x:c>
    </x:row>
    <x:row r="25">
      <x:c r="A25" s="10" t="str">
        <x:v>WKW-012</x:v>
      </x:c>
      <x:c r="B25" s="10" t="str">
        <x:v>王家卫</x:v>
      </x:c>
      <x:c r="C25" s="10" t="str">
        <x:v>阿飞正传</x:v>
      </x:c>
      <x:c r="D25" s="10" t="str">
        <x:v>一分钟朋友/钟表与近景对话</x:v>
      </x:c>
      <x:c r="E25" s="10" t="str">
        <x:v>时间意象/近景调度</x:v>
      </x:c>
      <x:c r="F25" s="10" t="str">
        <x:v>钟表、近景、青年姿态、热带潮湿感</x:v>
      </x:c>
      <x:c r="G25" s="10" t="str">
        <x:v>王家卫时间主题早期代表；适合和《花样年华》时间意象对照</x:v>
      </x:c>
      <x:c r="H25" s="10" t="str">
        <x:v>A</x:v>
      </x:c>
      <x:c r="I25" s="10" t="str">
        <x:v>影评/视频定位</x:v>
      </x:c>
      <x:c r="J25" s="10" t="str">
        <x:v>https://news.cyol.com/gb/articles/2021-03/17/content_B809vtlY7.html</x:v>
      </x:c>
      <x:c r="K25" s="10" t="str">
        <x:v>后续需补高清帧链接</x:v>
      </x:c>
      <x:c r="L25" s="10" t="str">
        <x:v>需找高清帧</x:v>
      </x:c>
      <x:c r="M25" s="10" t="str">
        <x:v>未下载</x:v>
      </x:c>
      <x:c r="N25" s="10" t="str">
        <x:v>内部测试</x:v>
      </x:c>
    </x:row>
    <x:row r="26">
      <x:c r="A26" s="10" t="str">
        <x:v>NH-001</x:v>
      </x:c>
      <x:c r="B26" s="10" t="str">
        <x:v>宁浩</x:v>
      </x:c>
      <x:c r="C26" s="10" t="str">
        <x:v>无人区</x:v>
      </x:c>
      <x:c r="D26" s="10" t="str">
        <x:v>沙漠公路开场/荒原车道与人物进入无人区</x:v>
      </x:c>
      <x:c r="E26" s="10" t="str">
        <x:v>公路西部/荒原空间</x:v>
      </x:c>
      <x:c r="F26" s="10" t="str">
        <x:v>极简地平线、荒漠、车道透视、强日光</x:v>
      </x:c>
      <x:c r="G26" s="10" t="str">
        <x:v>影片被描述为中国 neo-western thriller，荒漠公路是核心视觉</x:v>
      </x:c>
      <x:c r="H26" s="10" t="str">
        <x:v>S</x:v>
      </x:c>
      <x:c r="I26" s="10" t="str">
        <x:v>ChinaDaily 剧照/预告</x:v>
      </x:c>
      <x:c r="J26" s="10" t="str">
        <x:v>https://www.chinadaily.com.cn/culture/2013-12/04/content_17150340.htm</x:v>
      </x:c>
      <x:c r="K26" s="10" t="str">
        <x:v>预告片页面用于定位；后续从高清正片/预告抽帧</x:v>
      </x:c>
      <x:c r="L26" s="10" t="str">
        <x:v>待找高分辨率帧</x:v>
      </x:c>
      <x:c r="M26" s="10" t="str">
        <x:v>未下载</x:v>
      </x:c>
      <x:c r="N26" s="10" t="str">
        <x:v>内部测试</x:v>
      </x:c>
    </x:row>
    <x:row r="27">
      <x:c r="A27" s="10" t="str">
        <x:v>NH-002</x:v>
      </x:c>
      <x:c r="B27" s="10" t="str">
        <x:v>宁浩</x:v>
      </x:c>
      <x:c r="C27" s="10" t="str">
        <x:v>无人区</x:v>
      </x:c>
      <x:c r="D27" s="10" t="str">
        <x:v>沙漠折叠椅/人物在荒原中等待</x:v>
      </x:c>
      <x:c r="E27" s="10" t="str">
        <x:v>荒原静态构图</x:v>
      </x:c>
      <x:c r="F27" s="10" t="str">
        <x:v>空旷地平线、人物小比例、折叠椅、灰黄沙地</x:v>
      </x:c>
      <x:c r="G27" s="10" t="str">
        <x:v>ChinaDaily Still photos 页面有相关剧照，适合做构图复刻</x:v>
      </x:c>
      <x:c r="H27" s="10" t="str">
        <x:v>S</x:v>
      </x:c>
      <x:c r="I27" s="10" t="str">
        <x:v>ChinaDaily 剧照页</x:v>
      </x:c>
      <x:c r="J27" s="10" t="str">
        <x:v>https://www.chinadaily.com.cn/culture/2013-12/04/content_17150679_14.htm</x:v>
      </x:c>
      <x:c r="K27" s="10" t="str">
        <x:v>网页提供 still photo，可先做测试样本</x:v>
      </x:c>
      <x:c r="L27" s="10" t="str">
        <x:v>网页剧照</x:v>
      </x:c>
      <x:c r="M27" s="10" t="str">
        <x:v>未下载</x:v>
      </x:c>
      <x:c r="N27" s="10" t="str">
        <x:v>内部测试</x:v>
      </x:c>
    </x:row>
    <x:row r="28">
      <x:c r="A28" s="10" t="str">
        <x:v>NH-003</x:v>
      </x:c>
      <x:c r="B28" s="10" t="str">
        <x:v>宁浩</x:v>
      </x:c>
      <x:c r="C28" s="10" t="str">
        <x:v>无人区</x:v>
      </x:c>
      <x:c r="D28" s="10" t="str">
        <x:v>加油站/路边小店冲突</x:v>
      </x:c>
      <x:c r="E28" s="10" t="str">
        <x:v>西部犯罪/边缘空间</x:v>
      </x:c>
      <x:c r="F28" s="10" t="str">
        <x:v>破旧建筑、烈日、车、尘土、人物对峙</x:v>
      </x:c>
      <x:c r="G28" s="10" t="str">
        <x:v>适合测试中国式西部片的路边空间与犯罪氛围</x:v>
      </x:c>
      <x:c r="H28" s="10" t="str">
        <x:v>A</x:v>
      </x:c>
      <x:c r="I28" s="10" t="str">
        <x:v>ChinaDaily 剧照索引</x:v>
      </x:c>
      <x:c r="J28" s="10" t="str">
        <x:v>https://www.chinadaily.com.cn/culture/2013-12/04/content_17150679_34.htm</x:v>
      </x:c>
      <x:c r="K28" s="10" t="str">
        <x:v>ChinaDaily 提供多页 still photos，可继续逐页筛选</x:v>
      </x:c>
      <x:c r="L28" s="10" t="str">
        <x:v>网页剧照/需筛</x:v>
      </x:c>
      <x:c r="M28" s="10" t="str">
        <x:v>未下载</x:v>
      </x:c>
      <x:c r="N28" s="10" t="str">
        <x:v>内部测试</x:v>
      </x:c>
    </x:row>
    <x:row r="29">
      <x:c r="A29" s="10" t="str">
        <x:v>NH-004</x:v>
      </x:c>
      <x:c r="B29" s="10" t="str">
        <x:v>宁浩</x:v>
      </x:c>
      <x:c r="C29" s="10" t="str">
        <x:v>无人区</x:v>
      </x:c>
      <x:c r="D29" s="10" t="str">
        <x:v>律师与盗猎者/车内与荒野对峙</x:v>
      </x:c>
      <x:c r="E29" s="10" t="str">
        <x:v>车内外空间/犯罪对峙</x:v>
      </x:c>
      <x:c r="F29" s="10" t="str">
        <x:v>车窗框中框、荒野背景、人物关系紧绷</x:v>
      </x:c>
      <x:c r="G29" s="10" t="str">
        <x:v>适合测试车内空间、玻璃反射和人物紧张关系</x:v>
      </x:c>
      <x:c r="H29" s="10" t="str">
        <x:v>A</x:v>
      </x:c>
      <x:c r="I29" s="10" t="str">
        <x:v>ChinaDaily 剧照索引</x:v>
      </x:c>
      <x:c r="J29" s="10" t="str">
        <x:v>https://www.chinadaily.com.cn/culture/2013-12/04/content_17150679_34.htm</x:v>
      </x:c>
      <x:c r="K29" s="10" t="str">
        <x:v>可从 still gallery 与 trailer 双重定位</x:v>
      </x:c>
      <x:c r="L29" s="10" t="str">
        <x:v>网页剧照/需筛</x:v>
      </x:c>
      <x:c r="M29" s="10" t="str">
        <x:v>未下载</x:v>
      </x:c>
      <x:c r="N29" s="10" t="str">
        <x:v>内部测试</x:v>
      </x:c>
    </x:row>
    <x:row r="30">
      <x:c r="A30" s="10" t="str">
        <x:v>NH-005</x:v>
      </x:c>
      <x:c r="B30" s="10" t="str">
        <x:v>宁浩</x:v>
      </x:c>
      <x:c r="C30" s="10" t="str">
        <x:v>无人区</x:v>
      </x:c>
      <x:c r="D30" s="10" t="str">
        <x:v>夜晚旅店/边境荒凉空间</x:v>
      </x:c>
      <x:c r="E30" s="10" t="str">
        <x:v>夜景/边缘旅店</x:v>
      </x:c>
      <x:c r="F30" s="10" t="str">
        <x:v>暖色低光、破旧旅店、人物阴影、危险感</x:v>
      </x:c>
      <x:c r="G30" s="10" t="str">
        <x:v>适合补充宁浩夜景与室内压迫测试</x:v>
      </x:c>
      <x:c r="H30" s="10" t="str">
        <x:v>A</x:v>
      </x:c>
      <x:c r="I30" s="10" t="str">
        <x:v>视频切片</x:v>
      </x:c>
      <x:c r="J30" s="10" t="str">
        <x:v>https://www.youtube.com/results?search_query=No+Man%27s+Land+Ning+Hao+hotel+scene</x:v>
      </x:c>
      <x:c r="K30" s="10" t="str">
        <x:v>需找高清正片或预告切片</x:v>
      </x:c>
      <x:c r="L30" s="10" t="str">
        <x:v>待找高分辨率帧</x:v>
      </x:c>
      <x:c r="M30" s="10" t="str">
        <x:v>未下载</x:v>
      </x:c>
      <x:c r="N30" s="10" t="str">
        <x:v>内部测试</x:v>
      </x:c>
    </x:row>
    <x:row r="31">
      <x:c r="A31" s="10" t="str">
        <x:v>NH-006</x:v>
      </x:c>
      <x:c r="B31" s="10" t="str">
        <x:v>宁浩</x:v>
      </x:c>
      <x:c r="C31" s="10" t="str">
        <x:v>无人区</x:v>
      </x:c>
      <x:c r="D31" s="10" t="str">
        <x:v>公路追逐/撞车/爆炸前后</x:v>
      </x:c>
      <x:c r="E31" s="10" t="str">
        <x:v>动作/运动测试</x:v>
      </x:c>
      <x:c r="F31" s="10" t="str">
        <x:v>车速、尘土、强日光、荒漠动线</x:v>
      </x:c>
      <x:c r="G31" s="10" t="str">
        <x:v>适合测试模型对运动残影、尘土和车道空间的稳定性</x:v>
      </x:c>
      <x:c r="H31" s="10" t="str">
        <x:v>A</x:v>
      </x:c>
      <x:c r="I31" s="10" t="str">
        <x:v>视频切片</x:v>
      </x:c>
      <x:c r="J31" s="10" t="str">
        <x:v>https://www.youtube.com/watch?v=ozBioI7TRG8</x:v>
      </x:c>
      <x:c r="K31" s="10" t="str">
        <x:v>公开视频可初步定位；后续优先从正版片源抽帧</x:v>
      </x:c>
      <x:c r="L31" s="10" t="str">
        <x:v>视频源待核清晰度</x:v>
      </x:c>
      <x:c r="M31" s="10" t="str">
        <x:v>未下载</x:v>
      </x:c>
      <x:c r="N31" s="10" t="str">
        <x:v>内部测试</x:v>
      </x:c>
    </x:row>
    <x:row r="32">
      <x:c r="A32" s="10" t="str">
        <x:v>NH-007</x:v>
      </x:c>
      <x:c r="B32" s="10" t="str">
        <x:v>宁浩</x:v>
      </x:c>
      <x:c r="C32" s="10" t="str">
        <x:v>疯狂的石头</x:v>
      </x:c>
      <x:c r="D32" s="10" t="str">
        <x:v>工艺品厂/翡翠展柜/多线索交汇</x:v>
      </x:c>
      <x:c r="E32" s="10" t="str">
        <x:v>黑色喜剧/空间调度</x:v>
      </x:c>
      <x:c r="F32" s="10" t="str">
        <x:v>展柜、厂房、多人误会、物件驱动叙事</x:v>
      </x:c>
      <x:c r="G32" s="10" t="str">
        <x:v>宁浩多线叙事代表作；适合测试物件中心和多人物误会</x:v>
      </x:c>
      <x:c r="H32" s="10" t="str">
        <x:v>S</x:v>
      </x:c>
      <x:c r="I32" s="10" t="str">
        <x:v>视频切片</x:v>
      </x:c>
      <x:c r="J32" s="10" t="str">
        <x:v>https://www.youtube.com/results?search_query=%E7%96%AF%E7%8B%82%E7%9A%84%E7%9F%B3%E5%A4%B4+%E7%BF%A1%E7%BF%A0+%E5%90%8D%E5%9C%BA%E9%9D%A2</x:v>
      </x:c>
      <x:c r="K32" s="10" t="str">
        <x:v>需进一步找高清片段；优先自有片源抽帧</x:v>
      </x:c>
      <x:c r="L32" s="10" t="str">
        <x:v>待找高分辨率帧</x:v>
      </x:c>
      <x:c r="M32" s="10" t="str">
        <x:v>未下载</x:v>
      </x:c>
      <x:c r="N32" s="10" t="str">
        <x:v>内部测试</x:v>
      </x:c>
    </x:row>
    <x:row r="33">
      <x:c r="A33" s="10" t="str">
        <x:v>NH-008</x:v>
      </x:c>
      <x:c r="B33" s="10" t="str">
        <x:v>宁浩</x:v>
      </x:c>
      <x:c r="C33" s="10" t="str">
        <x:v>疯狂的石头</x:v>
      </x:c>
      <x:c r="D33" s="10" t="str">
        <x:v>厕所/下水道/黑皮被困段落</x:v>
      </x:c>
      <x:c r="E33" s="10" t="str">
        <x:v>低成本黑色喜剧/狭小空间</x:v>
      </x:c>
      <x:c r="F33" s="10" t="str">
        <x:v>狭窄、脏乱、低机位、荒诞动作</x:v>
      </x:c>
      <x:c r="G33" s="10" t="str">
        <x:v>传播度高，适合测试粗粝空间和喜剧动作连续性</x:v>
      </x:c>
      <x:c r="H33" s="10" t="str">
        <x:v>A</x:v>
      </x:c>
      <x:c r="I33" s="10" t="str">
        <x:v>视频切片</x:v>
      </x:c>
      <x:c r="J33" s="10" t="str">
        <x:v>https://www.youtube.com/results?search_query=%E7%96%AF%E7%8B%82%E7%9A%84%E7%9F%B3%E5%A4%B4+%E9%BB%91%E7%9A%AE+%E5%8E%95%E6%89%80+%E7%89%87%E6%AE%B5</x:v>
      </x:c>
      <x:c r="K33" s="10" t="str">
        <x:v>需进一步找高清片段</x:v>
      </x:c>
      <x:c r="L33" s="10" t="str">
        <x:v>待找高分辨率帧</x:v>
      </x:c>
      <x:c r="M33" s="10" t="str">
        <x:v>未下载</x:v>
      </x:c>
      <x:c r="N33" s="10" t="str">
        <x:v>内部测试</x:v>
      </x:c>
    </x:row>
    <x:row r="34">
      <x:c r="A34" s="10" t="str">
        <x:v>NH-009</x:v>
      </x:c>
      <x:c r="B34" s="10" t="str">
        <x:v>宁浩</x:v>
      </x:c>
      <x:c r="C34" s="10" t="str">
        <x:v>疯狂的石头</x:v>
      </x:c>
      <x:c r="D34" s="10" t="str">
        <x:v>天台/缆车/城市山地空间</x:v>
      </x:c>
      <x:c r="E34" s="10" t="str">
        <x:v>重庆城市空间/错位喜剧</x:v>
      </x:c>
      <x:c r="F34" s="10" t="str">
        <x:v>山城高差、缆车、楼梯、城市密度</x:v>
      </x:c>
      <x:c r="G34" s="10" t="str">
        <x:v>适合测试重庆地形、空间错位和低成本城市真实感</x:v>
      </x:c>
      <x:c r="H34" s="10" t="str">
        <x:v>A</x:v>
      </x:c>
      <x:c r="I34" s="10" t="str">
        <x:v>视频切片</x:v>
      </x:c>
      <x:c r="J34" s="10" t="str">
        <x:v>https://www.youtube.com/results?search_query=%E7%96%AF%E7%8B%82%E7%9A%84%E7%9F%B3%E5%A4%B4+%E7%BC%86%E8%BD%A6+%E7%89%87%E6%AE%B5</x:v>
      </x:c>
      <x:c r="K34" s="10" t="str">
        <x:v>需进一步找高清片段</x:v>
      </x:c>
      <x:c r="L34" s="10" t="str">
        <x:v>待找高分辨率帧</x:v>
      </x:c>
      <x:c r="M34" s="10" t="str">
        <x:v>未下载</x:v>
      </x:c>
      <x:c r="N34" s="10" t="str">
        <x:v>内部测试</x:v>
      </x:c>
    </x:row>
    <x:row r="35">
      <x:c r="A35" s="10" t="str">
        <x:v>NH-010</x:v>
      </x:c>
      <x:c r="B35" s="10" t="str">
        <x:v>宁浩</x:v>
      </x:c>
      <x:c r="C35" s="10" t="str">
        <x:v>疯狂的赛车</x:v>
      </x:c>
      <x:c r="D35" s="10" t="str">
        <x:v>自行车赛/赛车场开场</x:v>
      </x:c>
      <x:c r="E35" s="10" t="str">
        <x:v>运动喜剧/速度</x:v>
      </x:c>
      <x:c r="F35" s="10" t="str">
        <x:v>赛道、运动员、低角度、节奏剪辑</x:v>
      </x:c>
      <x:c r="G35" s="10" t="str">
        <x:v>适合测试快速运动、体育空间和喜剧剪辑节奏</x:v>
      </x:c>
      <x:c r="H35" s="10" t="str">
        <x:v>A</x:v>
      </x:c>
      <x:c r="I35" s="10" t="str">
        <x:v>视频切片</x:v>
      </x:c>
      <x:c r="J35" s="10" t="str">
        <x:v>https://www.youtube.com/results?search_query=Crazy+Racer+Ning+Hao+bicycle+race+scene</x:v>
      </x:c>
      <x:c r="K35" s="10" t="str">
        <x:v>需进一步找高清片段</x:v>
      </x:c>
      <x:c r="L35" s="10" t="str">
        <x:v>待找高分辨率帧</x:v>
      </x:c>
      <x:c r="M35" s="10" t="str">
        <x:v>未下载</x:v>
      </x:c>
      <x:c r="N35" s="10" t="str">
        <x:v>内部测试</x:v>
      </x:c>
    </x:row>
    <x:row r="36">
      <x:c r="A36" s="10" t="str">
        <x:v>NH-011</x:v>
      </x:c>
      <x:c r="B36" s="10" t="str">
        <x:v>宁浩</x:v>
      </x:c>
      <x:c r="C36" s="10" t="str">
        <x:v>疯狂的赛车</x:v>
      </x:c>
      <x:c r="D36" s="10" t="str">
        <x:v>医院/误会/多线人物冲撞</x:v>
      </x:c>
      <x:c r="E36" s="10" t="str">
        <x:v>黑色喜剧/室内多线</x:v>
      </x:c>
      <x:c r="F36" s="10" t="str">
        <x:v>医院冷光、走廊、多人错位、道具误会</x:v>
      </x:c>
      <x:c r="G36" s="10" t="str">
        <x:v>适合测试多线叙事中的室内人流与误会关系</x:v>
      </x:c>
      <x:c r="H36" s="10" t="str">
        <x:v>B</x:v>
      </x:c>
      <x:c r="I36" s="10" t="str">
        <x:v>视频切片</x:v>
      </x:c>
      <x:c r="J36" s="10" t="str">
        <x:v>https://www.youtube.com/results?search_query=%E7%96%AF%E7%8B%82%E7%9A%84%E8%B5%9B%E8%BD%A6+%E5%8C%BB%E9%99%A2+%E7%89%87%E6%AE%B5</x:v>
      </x:c>
      <x:c r="K36" s="10" t="str">
        <x:v>清晰源待补</x:v>
      </x:c>
      <x:c r="L36" s="10" t="str">
        <x:v>待找高分辨率帧</x:v>
      </x:c>
      <x:c r="M36" s="10" t="str">
        <x:v>未下载</x:v>
      </x:c>
      <x:c r="N36" s="10" t="str">
        <x:v>内部测试</x:v>
      </x:c>
    </x:row>
    <x:row r="37">
      <x:c r="A37" s="10" t="str">
        <x:v>NH-012</x:v>
      </x:c>
      <x:c r="B37" s="10" t="str">
        <x:v>宁浩</x:v>
      </x:c>
      <x:c r="C37" s="10" t="str">
        <x:v>心花路放</x:v>
      </x:c>
      <x:c r="D37" s="10" t="str">
        <x:v>公路旅行/夜店或酒吧段落</x:v>
      </x:c>
      <x:c r="E37" s="10" t="str">
        <x:v>公路喜剧/都市夜色</x:v>
      </x:c>
      <x:c r="F37" s="10" t="str">
        <x:v>车、霓虹、酒吧、松散群像</x:v>
      </x:c>
      <x:c r="G37" s="10" t="str">
        <x:v>作为宁浩商业公路喜剧补充样本，测试色彩更现代的夜景</x:v>
      </x:c>
      <x:c r="H37" s="10" t="str">
        <x:v>B</x:v>
      </x:c>
      <x:c r="I37" s="10" t="str">
        <x:v>视频切片</x:v>
      </x:c>
      <x:c r="J37" s="10" t="str">
        <x:v>https://www.youtube.com/results?search_query=Breakup+Buddies+Ning+Hao+bar+scene</x:v>
      </x:c>
      <x:c r="K37" s="10" t="str">
        <x:v>清晰源待补</x:v>
      </x:c>
      <x:c r="L37" s="10" t="str">
        <x:v>待找高分辨率帧</x:v>
      </x:c>
      <x:c r="M37" s="10" t="str">
        <x:v>未下载</x:v>
      </x:c>
      <x:c r="N37" s="10" t="str">
        <x:v>内部测试</x:v>
      </x:c>
    </x:row>
  </x:sheetData>
  <x:conditionalFormatting sqref="H2:H37">
    <x:cfRule type="expression" dxfId="0" priority="1">
      <x:formula>H2="S"</x:formula>
    </x:cfRule>
  </x:conditionalFormatting>
  <x:conditionalFormatting sqref="M2:M37">
    <x:cfRule type="expression" dxfId="1" priority="2">
      <x:formula>M2="已测试"</x:formula>
    </x:cfRule>
  </x:conditionalFormatting>
  <x:dataValidations count="2">
    <x:dataValidation type="list" sqref="H2:H37">
      <x:formula1>"S,A,B,C"</x:formula1>
    </x:dataValidation>
    <x:dataValidation type="list" sqref="M2:M37">
      <x:formula1>"未下载,已找到,已截帧,已测试,淘汰"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9a089812b24f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52" hidden="0" customWidth="1"/>
    <x:col min="4" max="4" width="24" hidden="0" customWidth="1"/>
    <x:col min="5" max="5" width="30" hidden="0" customWidth="1"/>
    <x:col min="6" max="6" width="42" hidden="0" customWidth="1"/>
  </x:cols>
  <x:sheetData>
    <x:row r="1">
      <x:c r="A1" s="8" t="str">
        <x:v>来源ID</x:v>
      </x:c>
      <x:c r="B1" s="8" t="str">
        <x:v>名称</x:v>
      </x:c>
      <x:c r="C1" s="8" t="str">
        <x:v>URL</x:v>
      </x:c>
      <x:c r="D1" s="8" t="str">
        <x:v>覆盖导演/电影</x:v>
      </x:c>
      <x:c r="E1" s="8" t="str">
        <x:v>用途</x:v>
      </x:c>
      <x:c r="F1" s="8" t="str">
        <x:v>可信度/说明</x:v>
      </x:c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SRC-001</x:v>
      </x:c>
      <x:c r="B2" s="10" t="str">
        <x:v>FilmGrab｜In the Mood for Love</x:v>
      </x:c>
      <x:c r="C2" s="10" t="str">
        <x:v>https://film-grab.com/2013/03/09/in-the-mood-for-love/</x:v>
      </x:c>
      <x:c r="D2" s="10" t="str">
        <x:v>王家卫《花样年华》</x:v>
      </x:c>
      <x:c r="E2" s="10" t="str">
        <x:v>大量画面截图，用于定位构图与视觉变量</x:v>
      </x:c>
      <x:c r="F2" s="10" t="str">
        <x:v>截图页面，便于拉片；最终高分辨率建议从正版 4K/蓝光抽帧</x:v>
      </x:c>
    </x:row>
    <x:row r="3">
      <x:c r="A3" s="10" t="str">
        <x:v>SRC-002</x:v>
      </x:c>
      <x:c r="B3" s="10" t="str">
        <x:v>The New Yorker｜In the Mood for Love aesthetic</x:v>
      </x:c>
      <x:c r="C3" s="10" t="str">
        <x:v>https://www.newyorker.com/culture/touchstones/wong-kar-wais-in-the-mood-for-love</x:v>
      </x:c>
      <x:c r="D3" s="10" t="str">
        <x:v>王家卫《花样年华》</x:v>
      </x:c>
      <x:c r="E3" s="10" t="str">
        <x:v>风格分析、构图/电话/时钟/门窗意象依据</x:v>
      </x:c>
      <x:c r="F3" s="10" t="str">
        <x:v>权威影评资料，可辅助填写七层分析</x:v>
      </x:c>
    </x:row>
    <x:row r="4">
      <x:c r="A4" s="10" t="str">
        <x:v>SRC-003</x:v>
      </x:c>
      <x:c r="B4" s="10" t="str">
        <x:v>Criterion Channel｜Chungking Express</x:v>
      </x:c>
      <x:c r="C4" s="10" t="str">
        <x:v>https://www.criterionchannel.com/videos/chungking-express</x:v>
      </x:c>
      <x:c r="D4" s="10" t="str">
        <x:v>王家卫《重庆森林》</x:v>
      </x:c>
      <x:c r="E4" s="10" t="str">
        <x:v>剧情/符号定位：凤梨罐头、Midnight Express、California Dreamin'</x:v>
      </x:c>
      <x:c r="F4" s="10" t="str">
        <x:v>权威发行/流媒体页面，适合确认代表性场景</x:v>
      </x:c>
    </x:row>
    <x:row r="5">
      <x:c r="A5" s="10" t="str">
        <x:v>SRC-004</x:v>
      </x:c>
      <x:c r="B5" s="10" t="str">
        <x:v>中青在线｜王家卫电影世界</x:v>
      </x:c>
      <x:c r="C5" s="10" t="str">
        <x:v>https://news.cyol.com/gb/articles/2021-03/17/content_B809vtlY7.html</x:v>
      </x:c>
      <x:c r="D5" s="10" t="str">
        <x:v>王家卫多片</x:v>
      </x:c>
      <x:c r="E5" s="10" t="str">
        <x:v>风格依据：偷格加印、超广角、都市疏离</x:v>
      </x:c>
      <x:c r="F5" s="10" t="str">
        <x:v>中文评论资料，适合风格总结</x:v>
      </x:c>
    </x:row>
    <x:row r="6">
      <x:c r="A6" s="10" t="str">
        <x:v>SRC-005</x:v>
      </x:c>
      <x:c r="B6" s="10" t="str">
        <x:v>华东师范大学传播学院 PDF｜姜文屋顶/酒桌调度研究</x:v>
      </x:c>
      <x:c r="C6" s="10" t="str">
        <x:v>https://comm.ecnu.edu.cn/_upload/article/files/29/5a/6f1d3d2141a496ece202dfafe6ef/d8408095-016a-4598-971f-7383725fbb17.pdf</x:v>
      </x:c>
      <x:c r="D6" s="10" t="str">
        <x:v>姜文《让子弹飞》《阳光灿烂的日子》《邪不压正》</x:v>
      </x:c>
      <x:c r="E6" s="10" t="str">
        <x:v>名场面与空间调度依据：鸿门宴、莫斯科餐厅、六国饭店</x:v>
      </x:c>
      <x:c r="F6" s="10" t="str">
        <x:v>学术/课程资料，可作为场面选择依据</x:v>
      </x:c>
    </x:row>
    <x:row r="7">
      <x:c r="A7" s="10" t="str">
        <x:v>SRC-006</x:v>
      </x:c>
      <x:c r="B7" s="10" t="str">
        <x:v>YouTube｜Let the Bullets Fly Official Trailer</x:v>
      </x:c>
      <x:c r="C7" s="10" t="str">
        <x:v>https://www.youtube.com/watch?v=FhIyjAv5pZg</x:v>
      </x:c>
      <x:c r="D7" s="10" t="str">
        <x:v>姜文《让子弹飞》</x:v>
      </x:c>
      <x:c r="E7" s="10" t="str">
        <x:v>片段定位与初筛</x:v>
      </x:c>
      <x:c r="F7" s="10" t="str">
        <x:v>优先确认是否 1080p；最终用正版高清正片抽帧</x:v>
      </x:c>
    </x:row>
    <x:row r="8">
      <x:c r="A8" s="10" t="str">
        <x:v>SRC-007</x:v>
      </x:c>
      <x:c r="B8" s="10" t="str">
        <x:v>DVDBeaver｜Devils on the Doorstep screenshots</x:v>
      </x:c>
      <x:c r="C8" s="10" t="str">
        <x:v>https://www.dvdbeaver.com/film/DVDReviews12/devils_on_the_doorstep.htm</x:v>
      </x:c>
      <x:c r="D8" s="10" t="str">
        <x:v>姜文《鬼子来了》</x:v>
      </x:c>
      <x:c r="E8" s="10" t="str">
        <x:v>黑白截图参考</x:v>
      </x:c>
      <x:c r="F8" s="10" t="str">
        <x:v>分辨率不一定最高，但适合先做黑白层次测试</x:v>
      </x:c>
    </x:row>
    <x:row r="9">
      <x:c r="A9" s="10" t="str">
        <x:v>SRC-008</x:v>
      </x:c>
      <x:c r="B9" s="10" t="str">
        <x:v>ChinaDaily｜Trailer of No Man's Land</x:v>
      </x:c>
      <x:c r="C9" s="10" t="str">
        <x:v>https://www.chinadaily.com.cn/culture/2013-12/04/content_17150340.htm</x:v>
      </x:c>
      <x:c r="D9" s="10" t="str">
        <x:v>宁浩《无人区》</x:v>
      </x:c>
      <x:c r="E9" s="10" t="str">
        <x:v>预告片定位</x:v>
      </x:c>
      <x:c r="F9" s="10" t="str">
        <x:v>官方媒体页面，可用于初筛</x:v>
      </x:c>
    </x:row>
    <x:row r="10">
      <x:c r="A10" s="10" t="str">
        <x:v>SRC-009</x:v>
      </x:c>
      <x:c r="B10" s="10" t="str">
        <x:v>ChinaDaily｜Still photos of No Man's Land</x:v>
      </x:c>
      <x:c r="C10" s="10" t="str">
        <x:v>https://www.chinadaily.com.cn/culture/2013-12/04/content_17150679_14.htm</x:v>
      </x:c>
      <x:c r="D10" s="10" t="str">
        <x:v>宁浩《无人区》</x:v>
      </x:c>
      <x:c r="E10" s="10" t="str">
        <x:v>剧照参考</x:v>
      </x:c>
      <x:c r="F10" s="10" t="str">
        <x:v>官方媒体剧照，适合荒漠构图测试</x:v>
      </x:c>
    </x:row>
    <x:row r="11">
      <x:c r="A11" s="10" t="str">
        <x:v>SRC-010</x:v>
      </x:c>
      <x:c r="B11" s="10" t="str">
        <x:v>ChinaDaily｜Still photos index page 34</x:v>
      </x:c>
      <x:c r="C11" s="10" t="str">
        <x:v>https://www.chinadaily.com.cn/culture/2013-12/04/content_17150679_34.htm</x:v>
      </x:c>
      <x:c r="D11" s="10" t="str">
        <x:v>宁浩《无人区》</x:v>
      </x:c>
      <x:c r="E11" s="10" t="str">
        <x:v>多页剧照索引</x:v>
      </x:c>
      <x:c r="F11" s="10" t="str">
        <x:v>可继续翻页筛选高分辨率图</x:v>
      </x:c>
    </x:row>
  </x:sheetData>
  <x:pageMargins left="0.7" right="0.7" top="0.75" bottom="0.75" header="0.3" footer="0.3"/>
  <x:tableParts count="1">
    <x:tablePart xmlns:r="http://schemas.openxmlformats.org/officeDocument/2006/relationships" r:id="Rb7543abfc43340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2" hidden="0" customWidth="1"/>
    <x:col min="14" max="14" width="28" hidden="0" customWidth="1"/>
  </x:cols>
  <x:sheetData>
    <x:row r="1">
      <x:c r="A1" s="8" t="str">
        <x:v>单条切片复刻测试评分模板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3">
      <x:c r="A3" s="16" t="str">
        <x:v>测试ID</x:v>
      </x:c>
      <x:c r="B3" s="16" t="str">
        <x:v>候选ID</x:v>
      </x:c>
      <x:c r="C3" s="16" t="str">
        <x:v>参考帧编号</x:v>
      </x:c>
      <x:c r="D3" s="16" t="str">
        <x:v>生成轮次</x:v>
      </x:c>
      <x:c r="E3" s="16" t="str">
        <x:v>色彩接近度(1-5)</x:v>
      </x:c>
      <x:c r="F3" s="16" t="str">
        <x:v>光线逻辑(1-5)</x:v>
      </x:c>
      <x:c r="G3" s="16" t="str">
        <x:v>构图接近度(1-5)</x:v>
      </x:c>
      <x:c r="H3" s="16" t="str">
        <x:v>镜头距离(1-5)</x:v>
      </x:c>
      <x:c r="I3" s="16" t="str">
        <x:v>空间层次(1-5)</x:v>
      </x:c>
      <x:c r="J3" s="16" t="str">
        <x:v>材质气氛(1-5)</x:v>
      </x:c>
      <x:c r="K3" s="16" t="str">
        <x:v>人物调度(1-5)</x:v>
      </x:c>
      <x:c r="L3" s="16" t="str">
        <x:v>合规风险(低/中/高)</x:v>
      </x:c>
      <x:c r="M3" s="16" t="str">
        <x:v>是否通过</x:v>
      </x:c>
      <x:c r="N3" s="16" t="str">
        <x:v>备注</x:v>
      </x:c>
    </x:row>
    <x:row r="4">
      <x:c r="A4" s="10" t="str">
        <x:v>T-001</x:v>
      </x:c>
      <x:c r="B4" s="10" t="str">
        <x:v>WKW-001</x:v>
      </x:c>
      <x:c r="C4" s="10" t="str">
        <x:v>ref-01</x:v>
      </x:c>
      <x:c r="D4" s="10" t="str">
        <x:v>gen-01</x:v>
      </x:c>
      <x:c r="E4" s="10" t="str"/>
      <x:c r="F4" s="10" t="str"/>
      <x:c r="G4" s="10" t="str"/>
      <x:c r="H4" s="10" t="str"/>
      <x:c r="I4" s="10" t="str"/>
      <x:c r="J4" s="10" t="str"/>
      <x:c r="K4" s="10" t="str"/>
      <x:c r="L4" s="10" t="str">
        <x:v>低</x:v>
      </x:c>
      <x:c r="M4" s="10" t="str"/>
      <x:c r="N4" s="10" t="str"/>
    </x:row>
    <x:row r="5">
      <x:c r="A5" s="10" t="str">
        <x:v>T-001</x:v>
      </x:c>
      <x:c r="B5" s="10" t="str">
        <x:v>WKW-001</x:v>
      </x:c>
      <x:c r="C5" s="10" t="str">
        <x:v>ref-01</x:v>
      </x:c>
      <x:c r="D5" s="10" t="str">
        <x:v>gen-02</x:v>
      </x:c>
      <x:c r="E5" s="10" t="str"/>
      <x:c r="F5" s="10" t="str"/>
      <x:c r="G5" s="10" t="str"/>
      <x:c r="H5" s="10" t="str"/>
      <x:c r="I5" s="10" t="str"/>
      <x:c r="J5" s="10" t="str"/>
      <x:c r="K5" s="10" t="str"/>
      <x:c r="L5" s="10" t="str">
        <x:v>低</x:v>
      </x:c>
      <x:c r="M5" s="10" t="str"/>
      <x:c r="N5" s="10" t="str"/>
    </x:row>
    <x:row r="6">
      <x:c r="A6" s="10" t="str">
        <x:v>T-001</x:v>
      </x:c>
      <x:c r="B6" s="10" t="str">
        <x:v>WKW-001</x:v>
      </x:c>
      <x:c r="C6" s="10" t="str">
        <x:v>ref-01</x:v>
      </x:c>
      <x:c r="D6" s="10" t="str">
        <x:v>gen-03</x:v>
      </x:c>
      <x:c r="E6" s="10" t="str"/>
      <x:c r="F6" s="10" t="str"/>
      <x:c r="G6" s="10" t="str"/>
      <x:c r="H6" s="10" t="str"/>
      <x:c r="I6" s="10" t="str"/>
      <x:c r="J6" s="10" t="str"/>
      <x:c r="K6" s="10" t="str"/>
      <x:c r="L6" s="10" t="str">
        <x:v>低</x:v>
      </x:c>
      <x:c r="M6" s="10" t="str"/>
      <x:c r="N6" s="10" t="str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</x:row>
  </x:sheetData>
  <x:conditionalFormatting sqref="E4:K100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2">
    <x:dataValidation type="list" sqref="L4:L100">
      <x:formula1>"低,中,高"</x:formula1>
    </x:dataValidation>
    <x:dataValidation type="list" sqref="M4:M100">
      <x:formula1>"通过,不通过,重测"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39452b68a1430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0" hidden="0" customWidth="1"/>
  </x:cols>
  <x:sheetData>
    <x:row r="1">
      <x:c r="A1" s="8" t="str">
        <x:v>使用规则｜第一阶段只做内部测试</x:v>
      </x:c>
      <x:c r="B1" s="8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0" t="str">
        <x:v>1</x:v>
      </x:c>
      <x:c r="B3" s="10" t="str">
        <x:v>不放网站，不进 Janet 主站，不进公开作品库。</x:v>
      </x:c>
    </x:row>
    <x:row r="4">
      <x:c r="A4" s="10" t="str">
        <x:v>2</x:v>
      </x:c>
      <x:c r="B4" s="10" t="str">
        <x:v>每条测试必须从真实导演电影内容出发：导演、片名、时间码、参考帧。</x:v>
      </x:c>
    </x:row>
    <x:row r="5">
      <x:c r="A5" s="10" t="str">
        <x:v>3</x:v>
      </x:c>
      <x:c r="B5" s="10" t="str">
        <x:v>先复刻视觉规律，再做描述性拆解，最后才做安全转译和原创。</x:v>
      </x:c>
    </x:row>
    <x:row r="6">
      <x:c r="A6" s="10" t="str">
        <x:v>4</x:v>
      </x:c>
      <x:c r="B6" s="10" t="str">
        <x:v>参考帧和生成图默认不提交公开仓库；只保留本地测试目录或私有存储。</x:v>
      </x:c>
    </x:row>
    <x:row r="7">
      <x:c r="A7" s="10" t="str">
        <x:v>5</x:v>
      </x:c>
      <x:c r="B7" s="10" t="str">
        <x:v>公开候选 Prompt 必须去掉导演名、电影名、演员名、角色名、品牌、logo、水印、已知剧照构图。</x:v>
      </x:c>
    </x:row>
    <x:row r="8">
      <x:c r="A8" s="10" t="str">
        <x:v>6</x:v>
      </x:c>
      <x:c r="B8" s="10" t="str">
        <x:v>优先顺序：正版 4K/蓝光抽帧 &gt; 官方 1080p/4K 预告片 &gt; 官方媒体剧照 &gt; 影评截图页。</x:v>
      </x:c>
    </x:row>
    <x:row r="9">
      <x:c r="A9" s="10" t="str">
        <x:v>7</x:v>
      </x:c>
      <x:c r="B9" s="10" t="str">
        <x:v>每个候选切片至少做 3 张参考帧，每张参考帧至少跑 3 次生成，连续稳定才算通过。</x:v>
      </x:c>
    </x:row>
    <x:row r="10">
      <x:c r="A10" s="10"/>
      <x:c r="B10" s="10"/>
    </x:row>
    <x:row r="11">
      <x:c r="A11" s="10"/>
      <x:c r="B11" s="10"/>
    </x:row>
    <x:row r="12">
      <x:c r="A12" s="10"/>
      <x:c r="B12" s="10"/>
    </x:row>
    <x:row r="13">
      <x:c r="A13" s="10"/>
      <x:c r="B13" s="10"/>
    </x:row>
    <x:row r="14">
      <x:c r="A14" s="10"/>
      <x:c r="B14" s="10"/>
    </x:row>
    <x:row r="15">
      <x:c r="A15" s="10"/>
      <x:c r="B15" s="10"/>
    </x:row>
    <x:row r="16">
      <x:c r="A16" s="10"/>
      <x:c r="B16" s="10"/>
    </x:row>
    <x:row r="17">
      <x:c r="A17" s="10"/>
      <x:c r="B17" s="10"/>
    </x:row>
    <x:row r="18">
      <x:c r="A18" s="10"/>
      <x:c r="B18" s="10"/>
    </x:row>
    <x:row r="19">
      <x:c r="A19" s="10"/>
      <x:c r="B19" s="10"/>
    </x:row>
    <x:row r="20">
      <x:c r="A20" s="10"/>
      <x:c r="B20" s="10"/>
    </x:row>
  </x:sheetData>
  <x:pageMargins left="0.7" right="0.7" top="0.75" bottom="0.75" header="0.3" footer="0.3"/>
</x:worksheet>
</file>